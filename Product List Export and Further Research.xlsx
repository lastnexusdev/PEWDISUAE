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List Export and Further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<sst xmlns="http://schemas.openxmlformats.org/spreadsheetml/2006/main" count="394" uniqueCount="103">
  <si>
    <t>Category</t>
  </si>
  <si>
    <t>Product Name</t>
  </si>
  <si>
    <t>Aloe/Honey/Almond Risk</t>
  </si>
  <si>
    <t>Latex/Shea/Avocado Risk</t>
  </si>
  <si>
    <t>Botanical Density</t>
  </si>
  <si>
    <t>Status</t>
  </si>
  <si>
    <t>Hair</t>
  </si>
  <si>
    <t>Botanic Hearth Peppermint Shampoo</t>
  </si>
  <si>
    <t>✅ Clear</t>
  </si>
  <si>
    <t>🌿 Very High</t>
  </si>
  <si>
    <t>✅ Best Match</t>
  </si>
  <si>
    <t>Botanic Hearth Peppermint Conditioner</t>
  </si>
  <si>
    <t>🌿 High</t>
  </si>
  <si>
    <t>Aveeno Rosemary Mint Shampoo</t>
  </si>
  <si>
    <t>Aveeno Rosemary Mint Conditioner</t>
  </si>
  <si>
    <t>MATRIX Instacure Build-A-Bond Shampoo</t>
  </si>
  <si>
    <t>🧪 Low</t>
  </si>
  <si>
    <t>✅ Safe</t>
  </si>
  <si>
    <t>MATRIX Instacure Build-A-Bond Conditioner</t>
  </si>
  <si>
    <t>Body Wash</t>
  </si>
  <si>
    <t>Method Matcha Body Wash</t>
  </si>
  <si>
    <t>Method Wind Down Body Wash</t>
  </si>
  <si>
    <t>Method Berry Balance Body Wash</t>
  </si>
  <si>
    <t>ATTITUDE Body Wash</t>
  </si>
  <si>
    <t>J&amp;J Vanilla Oat Wash</t>
  </si>
  <si>
    <t>🌾 Moderate</t>
  </si>
  <si>
    <t>Method Hip Hop Body Wash</t>
  </si>
  <si>
    <t>Method Jazzed Body Wash</t>
  </si>
  <si>
    <t>Native Vanilla &amp; Cashmere Wash</t>
  </si>
  <si>
    <t>Lotion</t>
  </si>
  <si>
    <t>Palmer's Cocoa Butter (Original)</t>
  </si>
  <si>
    <t>Palmer's Fragrance Free Lotion</t>
  </si>
  <si>
    <t>J&amp;J Vanilla Oat Lotion</t>
  </si>
  <si>
    <t>Gold Bond Pure Moisture Lotion</t>
  </si>
  <si>
    <t>🧪 Moderate</t>
  </si>
  <si>
    <t>AmLactin Daily Nourish Lotion</t>
  </si>
  <si>
    <t>AmLactin KP Bumps Be Gone</t>
  </si>
  <si>
    <t>Face</t>
  </si>
  <si>
    <t>I'm From Rice Toner</t>
  </si>
  <si>
    <t>Blue Under Eye Patches</t>
  </si>
  <si>
    <t>MAXCLINIC Cica Biome Oil Foam</t>
  </si>
  <si>
    <t>Type</t>
  </si>
  <si>
    <t>Risk Level</t>
  </si>
  <si>
    <t>Cost</t>
  </si>
  <si>
    <t>fl oz</t>
  </si>
  <si>
    <t>$/fl oz</t>
  </si>
  <si>
    <t>started:</t>
  </si>
  <si>
    <t>Freq</t>
  </si>
  <si>
    <t>Run low/done:</t>
  </si>
  <si>
    <t>#</t>
  </si>
  <si>
    <t>Duration</t>
  </si>
  <si>
    <t>Shampoo</t>
  </si>
  <si>
    <t>Verified Safe</t>
  </si>
  <si>
    <t>Conditioner</t>
  </si>
  <si>
    <t>Liquid</t>
  </si>
  <si>
    <t>03/20/0206</t>
  </si>
  <si>
    <t>ATTITUDE Wild Berries Body Wash</t>
  </si>
  <si>
    <t>Baby</t>
  </si>
  <si>
    <t>J&amp;J Vanilla Oat Baby Wash</t>
  </si>
  <si>
    <t>Bar</t>
  </si>
  <si>
    <t>Australian Botanical Goats Milk</t>
  </si>
  <si>
    <t>Velvety</t>
  </si>
  <si>
    <t>Classic</t>
  </si>
  <si>
    <t>Ultra-light</t>
  </si>
  <si>
    <t>Silky</t>
  </si>
  <si>
    <t>Thick</t>
  </si>
  <si>
    <t>Size</t>
  </si>
  <si>
    <t>Per Unit</t>
  </si>
  <si>
    <t>Cleanser</t>
  </si>
  <si>
    <t>MAXCLINIC Calendula Biome Oil Foam</t>
  </si>
  <si>
    <t>UNVERIFIED</t>
  </si>
  <si>
    <t>Aveeno Calm+Restore Oat Cleanser</t>
  </si>
  <si>
    <t>Face Cream</t>
  </si>
  <si>
    <t>Purito Oat-In Calming Gel Cream</t>
  </si>
  <si>
    <t>Innisfree Green Tea Ceramide Cream</t>
  </si>
  <si>
    <t>Serum</t>
  </si>
  <si>
    <t>Pyunkang Yul Moisture Serum</t>
  </si>
  <si>
    <t>Pyunkang Yul Calming Serum</t>
  </si>
  <si>
    <t>Purito Vitamin C Serum</t>
  </si>
  <si>
    <t>Purito Wonder Releaf Centella Serum</t>
  </si>
  <si>
    <t>2/day</t>
  </si>
  <si>
    <t>Sunscreen</t>
  </si>
  <si>
    <t>Anthelios Melt-In Milk SPF 100</t>
  </si>
  <si>
    <t>Beauty of Joseon Relief Sun</t>
  </si>
  <si>
    <t>Thrive Daily Mineral Sunscreen</t>
  </si>
  <si>
    <t>Haruharu Black Rice Mineral Sunscreen</t>
  </si>
  <si>
    <t>Toner</t>
  </si>
  <si>
    <t>Pyunkang Yul Essence Toner</t>
  </si>
  <si>
    <t>Pyunkang Yul Calming Toner</t>
  </si>
  <si>
    <t>Purito Oat PDRN Refining Toner</t>
  </si>
  <si>
    <t>2/dsy</t>
  </si>
  <si>
    <t>EYE</t>
  </si>
  <si>
    <t>2/week</t>
  </si>
  <si>
    <t>MASK</t>
  </si>
  <si>
    <t>Benton Centella Mask</t>
  </si>
  <si>
    <t>BOJ Centella Asiatica Calming Mask</t>
  </si>
  <si>
    <t>Innisfree Green Tea Energy Mask</t>
  </si>
  <si>
    <t>Innisfree Pomegranate Energy Mask</t>
  </si>
  <si>
    <t>Leaders Nature Effect Oat Mask</t>
  </si>
  <si>
    <t>Leaders Tremella Mushroom Mask</t>
  </si>
  <si>
    <t>MEDIHEAL MADECASSOSIDE</t>
  </si>
  <si>
    <t>1/week</t>
  </si>
  <si>
    <t>MEDIHEAL HYALURONATE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</si>
</sst>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M8" displayName="Hair_Care" name="Hair_Care" id="1">
  <tableColumns count="13">
    <tableColumn name="Type" id="1"/>
    <tableColumn name="Product Name" id="2"/>
    <tableColumn name="Risk Level" id="3"/>
    <tableColumn name="Botanical Density" id="4"/>
    <tableColumn name="Cost" id="5"/>
    <tableColumn name="fl oz" id="6"/>
    <tableColumn name="$/fl oz" id="7"/>
    <tableColumn name="started:" id="8"/>
    <tableColumn name="Freq" id="9"/>
    <tableColumn name="Run low/done:" id="10"/>
    <tableColumn name="#" id="11"/>
    <tableColumn name="Duration" id="12"/>
    <tableColumn name="Status" id="1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M20" displayName="Body_Wash" name="Body_Wash" id="2">
  <tableColumns count="13">
    <tableColumn name="Type" id="1"/>
    <tableColumn name="Product Name" id="2"/>
    <tableColumn name="Risk Level" id="3"/>
    <tableColumn name="Botanical Density" id="4"/>
    <tableColumn name="Cost" id="5"/>
    <tableColumn name="fl oz" id="6"/>
    <tableColumn name="$/fl oz" id="7"/>
    <tableColumn name="started:" id="8"/>
    <tableColumn name="Freq" id="9"/>
    <tableColumn name="Run low/done:" id="10"/>
    <tableColumn name="#" id="11"/>
    <tableColumn name="Duration" id="12"/>
    <tableColumn name="Status" id="1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22:M28" displayName="Lotion" name="Lotion" id="3">
  <tableColumns count="13">
    <tableColumn name="Type" id="1"/>
    <tableColumn name="Product Name" id="2"/>
    <tableColumn name="Risk Level" id="3"/>
    <tableColumn name="Botanical Density" id="4"/>
    <tableColumn name="Cost" id="5"/>
    <tableColumn name="fl oz" id="6"/>
    <tableColumn name="$/fl oz" id="7"/>
    <tableColumn name="started:" id="8"/>
    <tableColumn name="Freq" id="9"/>
    <tableColumn name="Run low/done:" id="10"/>
    <tableColumn name="#" id="11"/>
    <tableColumn name="Duration" id="12"/>
    <tableColumn name="Status" id="1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31:M48" displayName="Face_Care" name="Face_Care" id="4">
  <tableColumns count="13">
    <tableColumn name="Type" id="1"/>
    <tableColumn name="Product Name" id="2"/>
    <tableColumn name="Risk Level" id="3"/>
    <tableColumn name="Botanical Density" id="4"/>
    <tableColumn name="Cost" id="5"/>
    <tableColumn name="Size" id="6"/>
    <tableColumn name="Per Unit" id="7"/>
    <tableColumn name="started:" id="8"/>
    <tableColumn name="Freq" id="9"/>
    <tableColumn name="Run low/done:" id="10"/>
    <tableColumn name="#" id="11"/>
    <tableColumn name="Duration" id="12"/>
    <tableColumn name="Status" id="1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53:M62" displayName="Treatments" name="Treatments" id="5">
  <tableColumns count="13">
    <tableColumn name="Type" id="1"/>
    <tableColumn name="Product Name" id="2"/>
    <tableColumn name="Risk Level" id="3"/>
    <tableColumn name="Botanical Density" id="4"/>
    <tableColumn name="Cost" id="5"/>
    <tableColumn name="Size" id="6"/>
    <tableColumn name="Per Unit" id="7"/>
    <tableColumn name="started:" id="8"/>
    <tableColumn name="Freq" id="9"/>
    <tableColumn name="Run low/done:" id="10"/>
    <tableColumn name="#" id="11"/>
    <tableColumn name="Duration" id="12"/>
    <tableColumn name="Status" id="13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 t="s">
        <v>11</v>
      </c>
      <c r="C3" s="1" t="s">
        <v>8</v>
      </c>
      <c r="D3" s="1" t="s">
        <v>8</v>
      </c>
      <c r="E3" s="1" t="s">
        <v>12</v>
      </c>
      <c r="F3" s="1" t="s">
        <v>10</v>
      </c>
    </row>
    <row r="4">
      <c r="A4" s="1" t="s">
        <v>6</v>
      </c>
      <c r="B4" s="1" t="s">
        <v>13</v>
      </c>
      <c r="C4" s="1" t="s">
        <v>8</v>
      </c>
      <c r="D4" s="1" t="s">
        <v>8</v>
      </c>
      <c r="E4" s="1" t="s">
        <v>12</v>
      </c>
      <c r="F4" s="1" t="s">
        <v>10</v>
      </c>
    </row>
    <row r="5">
      <c r="A5" s="1" t="s">
        <v>6</v>
      </c>
      <c r="B5" s="1" t="s">
        <v>14</v>
      </c>
      <c r="C5" s="1" t="s">
        <v>8</v>
      </c>
      <c r="D5" s="1" t="s">
        <v>8</v>
      </c>
      <c r="E5" s="1" t="s">
        <v>12</v>
      </c>
      <c r="F5" s="1" t="s">
        <v>10</v>
      </c>
    </row>
    <row r="6">
      <c r="A6" s="1" t="s">
        <v>6</v>
      </c>
      <c r="B6" s="1" t="s">
        <v>15</v>
      </c>
      <c r="C6" s="1" t="s">
        <v>8</v>
      </c>
      <c r="D6" s="1" t="s">
        <v>8</v>
      </c>
      <c r="E6" s="1" t="s">
        <v>16</v>
      </c>
      <c r="F6" s="1" t="s">
        <v>17</v>
      </c>
    </row>
    <row r="7">
      <c r="A7" s="1" t="s">
        <v>6</v>
      </c>
      <c r="B7" s="1" t="s">
        <v>18</v>
      </c>
      <c r="C7" s="1" t="s">
        <v>8</v>
      </c>
      <c r="D7" s="1" t="s">
        <v>8</v>
      </c>
      <c r="E7" s="1" t="s">
        <v>16</v>
      </c>
      <c r="F7" s="1" t="s">
        <v>17</v>
      </c>
    </row>
    <row r="8">
      <c r="A8" s="1" t="s">
        <v>19</v>
      </c>
      <c r="B8" s="1" t="s">
        <v>20</v>
      </c>
      <c r="C8" s="1" t="s">
        <v>8</v>
      </c>
      <c r="D8" s="1" t="s">
        <v>8</v>
      </c>
      <c r="E8" s="1" t="s">
        <v>12</v>
      </c>
      <c r="F8" s="1" t="s">
        <v>10</v>
      </c>
    </row>
    <row r="9">
      <c r="A9" s="1" t="s">
        <v>19</v>
      </c>
      <c r="B9" s="1" t="s">
        <v>21</v>
      </c>
      <c r="C9" s="1" t="s">
        <v>8</v>
      </c>
      <c r="D9" s="1" t="s">
        <v>8</v>
      </c>
      <c r="E9" s="1" t="s">
        <v>12</v>
      </c>
      <c r="F9" s="1" t="s">
        <v>10</v>
      </c>
    </row>
    <row r="10">
      <c r="A10" s="1" t="s">
        <v>19</v>
      </c>
      <c r="B10" s="1" t="s">
        <v>22</v>
      </c>
      <c r="C10" s="1" t="s">
        <v>8</v>
      </c>
      <c r="D10" s="1" t="s">
        <v>8</v>
      </c>
      <c r="E10" s="1" t="s">
        <v>12</v>
      </c>
      <c r="F10" s="1" t="s">
        <v>10</v>
      </c>
    </row>
    <row r="11">
      <c r="A11" s="1" t="s">
        <v>19</v>
      </c>
      <c r="B11" s="1" t="s">
        <v>23</v>
      </c>
      <c r="C11" s="1" t="s">
        <v>8</v>
      </c>
      <c r="D11" s="1" t="s">
        <v>8</v>
      </c>
      <c r="E11" s="1" t="s">
        <v>12</v>
      </c>
      <c r="F11" s="1" t="s">
        <v>10</v>
      </c>
    </row>
    <row r="12">
      <c r="A12" s="1" t="s">
        <v>19</v>
      </c>
      <c r="B12" s="1" t="s">
        <v>24</v>
      </c>
      <c r="C12" s="1" t="s">
        <v>8</v>
      </c>
      <c r="D12" s="1" t="s">
        <v>8</v>
      </c>
      <c r="E12" s="1" t="s">
        <v>25</v>
      </c>
      <c r="F12" s="1" t="s">
        <v>17</v>
      </c>
    </row>
    <row r="13">
      <c r="A13" s="1" t="s">
        <v>19</v>
      </c>
      <c r="B13" s="1" t="s">
        <v>26</v>
      </c>
      <c r="C13" s="1" t="s">
        <v>8</v>
      </c>
      <c r="D13" s="1" t="s">
        <v>8</v>
      </c>
      <c r="E13" s="1" t="s">
        <v>16</v>
      </c>
      <c r="F13" s="1" t="s">
        <v>17</v>
      </c>
    </row>
    <row r="14">
      <c r="A14" s="1" t="s">
        <v>19</v>
      </c>
      <c r="B14" s="1" t="s">
        <v>27</v>
      </c>
      <c r="C14" s="1" t="s">
        <v>8</v>
      </c>
      <c r="D14" s="1" t="s">
        <v>8</v>
      </c>
      <c r="E14" s="1" t="s">
        <v>16</v>
      </c>
      <c r="F14" s="1" t="s">
        <v>17</v>
      </c>
    </row>
    <row r="15">
      <c r="A15" s="1" t="s">
        <v>19</v>
      </c>
      <c r="B15" s="1" t="s">
        <v>28</v>
      </c>
      <c r="C15" s="1" t="s">
        <v>8</v>
      </c>
      <c r="D15" s="1" t="s">
        <v>8</v>
      </c>
      <c r="E15" s="1" t="s">
        <v>16</v>
      </c>
      <c r="F15" s="1" t="s">
        <v>17</v>
      </c>
    </row>
    <row r="16">
      <c r="A16" s="1" t="s">
        <v>29</v>
      </c>
      <c r="B16" s="1" t="s">
        <v>30</v>
      </c>
      <c r="C16" s="1" t="s">
        <v>8</v>
      </c>
      <c r="D16" s="1" t="s">
        <v>8</v>
      </c>
      <c r="E16" s="1" t="s">
        <v>12</v>
      </c>
      <c r="F16" s="1" t="s">
        <v>10</v>
      </c>
    </row>
    <row r="17">
      <c r="A17" s="1" t="s">
        <v>29</v>
      </c>
      <c r="B17" s="1" t="s">
        <v>31</v>
      </c>
      <c r="C17" s="1" t="s">
        <v>8</v>
      </c>
      <c r="D17" s="1" t="s">
        <v>8</v>
      </c>
      <c r="E17" s="1" t="s">
        <v>12</v>
      </c>
      <c r="F17" s="1" t="s">
        <v>10</v>
      </c>
    </row>
    <row r="18">
      <c r="A18" s="1" t="s">
        <v>29</v>
      </c>
      <c r="B18" s="1" t="s">
        <v>32</v>
      </c>
      <c r="C18" s="1" t="s">
        <v>8</v>
      </c>
      <c r="D18" s="1" t="s">
        <v>8</v>
      </c>
      <c r="E18" s="1" t="s">
        <v>25</v>
      </c>
      <c r="F18" s="1" t="s">
        <v>17</v>
      </c>
    </row>
    <row r="19">
      <c r="A19" s="1" t="s">
        <v>29</v>
      </c>
      <c r="B19" s="1" t="s">
        <v>33</v>
      </c>
      <c r="C19" s="1" t="s">
        <v>8</v>
      </c>
      <c r="D19" s="1" t="s">
        <v>8</v>
      </c>
      <c r="E19" s="1" t="s">
        <v>34</v>
      </c>
      <c r="F19" s="1" t="s">
        <v>17</v>
      </c>
    </row>
    <row r="20">
      <c r="A20" s="1" t="s">
        <v>29</v>
      </c>
      <c r="B20" s="1" t="s">
        <v>35</v>
      </c>
      <c r="C20" s="1" t="s">
        <v>8</v>
      </c>
      <c r="D20" s="1" t="s">
        <v>8</v>
      </c>
      <c r="E20" s="1" t="s">
        <v>16</v>
      </c>
      <c r="F20" s="1" t="s">
        <v>17</v>
      </c>
    </row>
    <row r="21">
      <c r="A21" s="1" t="s">
        <v>29</v>
      </c>
      <c r="B21" s="1" t="s">
        <v>36</v>
      </c>
      <c r="C21" s="1" t="s">
        <v>8</v>
      </c>
      <c r="D21" s="1" t="s">
        <v>8</v>
      </c>
      <c r="E21" s="1" t="s">
        <v>16</v>
      </c>
      <c r="F21" s="1" t="s">
        <v>17</v>
      </c>
    </row>
    <row r="22">
      <c r="A22" s="1" t="s">
        <v>37</v>
      </c>
      <c r="B22" s="1" t="s">
        <v>38</v>
      </c>
      <c r="C22" s="1" t="s">
        <v>8</v>
      </c>
      <c r="D22" s="1" t="s">
        <v>8</v>
      </c>
      <c r="E22" s="1" t="s">
        <v>9</v>
      </c>
      <c r="F22" s="1" t="s">
        <v>10</v>
      </c>
    </row>
    <row r="23">
      <c r="A23" s="1" t="s">
        <v>37</v>
      </c>
      <c r="B23" s="1" t="s">
        <v>39</v>
      </c>
      <c r="C23" s="1" t="s">
        <v>8</v>
      </c>
      <c r="D23" s="1" t="s">
        <v>8</v>
      </c>
      <c r="E23" s="1" t="s">
        <v>9</v>
      </c>
      <c r="F23" s="1" t="s">
        <v>10</v>
      </c>
    </row>
    <row r="24">
      <c r="A24" s="1" t="s">
        <v>37</v>
      </c>
      <c r="B24" s="1" t="s">
        <v>40</v>
      </c>
      <c r="C24" s="1" t="s">
        <v>8</v>
      </c>
      <c r="D24" s="1" t="s">
        <v>8</v>
      </c>
      <c r="E24" s="1" t="s">
        <v>12</v>
      </c>
      <c r="F24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17.38"/>
    <col customWidth="1" min="4" max="4" width="18.38"/>
    <col customWidth="1" min="6" max="6" width="9.63"/>
    <col customWidth="1" min="10" max="10" width="15.13"/>
    <col customWidth="1" min="11" max="11" width="9.0"/>
    <col customWidth="1" min="13" max="13" width="18.13"/>
    <col customWidth="1" min="14" max="14" width="3.75"/>
  </cols>
  <sheetData>
    <row r="2" ht="22.5" customHeight="1">
      <c r="A2" s="2" t="s">
        <v>41</v>
      </c>
      <c r="B2" s="3" t="s">
        <v>1</v>
      </c>
      <c r="C2" s="3" t="s">
        <v>42</v>
      </c>
      <c r="D2" s="3" t="s">
        <v>4</v>
      </c>
      <c r="E2" s="4" t="s">
        <v>43</v>
      </c>
      <c r="F2" s="4" t="s">
        <v>44</v>
      </c>
      <c r="G2" s="4" t="s">
        <v>45</v>
      </c>
      <c r="H2" s="3" t="s">
        <v>46</v>
      </c>
      <c r="I2" s="3" t="s">
        <v>47</v>
      </c>
      <c r="J2" s="3" t="s">
        <v>48</v>
      </c>
      <c r="K2" s="4" t="s">
        <v>49</v>
      </c>
      <c r="L2" s="2" t="s">
        <v>50</v>
      </c>
      <c r="M2" s="2" t="s">
        <v>5</v>
      </c>
    </row>
    <row r="3" ht="22.5" customHeight="1">
      <c r="A3" s="5" t="s">
        <v>51</v>
      </c>
      <c r="B3" s="6" t="s">
        <v>7</v>
      </c>
      <c r="C3" s="5" t="s">
        <v>52</v>
      </c>
      <c r="D3" s="5" t="s">
        <v>9</v>
      </c>
      <c r="E3" s="7">
        <v>14.99</v>
      </c>
      <c r="F3" s="8">
        <v>16.0</v>
      </c>
      <c r="G3" s="9">
        <f t="shared" ref="G3:G8" si="1">E3/F3</f>
        <v>0.936875</v>
      </c>
      <c r="K3" s="10"/>
    </row>
    <row r="4" ht="22.5" customHeight="1">
      <c r="A4" s="5" t="s">
        <v>53</v>
      </c>
      <c r="B4" s="6" t="s">
        <v>11</v>
      </c>
      <c r="C4" s="5" t="s">
        <v>52</v>
      </c>
      <c r="D4" s="5" t="s">
        <v>12</v>
      </c>
      <c r="E4" s="11">
        <v>17.99</v>
      </c>
      <c r="F4" s="8">
        <v>16.0</v>
      </c>
      <c r="G4" s="9">
        <f t="shared" si="1"/>
        <v>1.124375</v>
      </c>
      <c r="K4" s="10"/>
    </row>
    <row r="5" ht="22.5" customHeight="1">
      <c r="A5" s="5" t="s">
        <v>51</v>
      </c>
      <c r="B5" s="6" t="s">
        <v>13</v>
      </c>
      <c r="C5" s="5" t="s">
        <v>52</v>
      </c>
      <c r="D5" s="5" t="s">
        <v>12</v>
      </c>
      <c r="E5" s="7">
        <v>8.5</v>
      </c>
      <c r="F5" s="8">
        <v>12.0</v>
      </c>
      <c r="G5" s="9">
        <f t="shared" si="1"/>
        <v>0.7083333333</v>
      </c>
      <c r="K5" s="10"/>
    </row>
    <row r="6" ht="22.5" customHeight="1">
      <c r="A6" s="5" t="s">
        <v>53</v>
      </c>
      <c r="B6" s="6" t="s">
        <v>14</v>
      </c>
      <c r="C6" s="5" t="s">
        <v>52</v>
      </c>
      <c r="D6" s="5" t="s">
        <v>12</v>
      </c>
      <c r="E6" s="7">
        <v>8.5</v>
      </c>
      <c r="F6" s="8">
        <v>12.0</v>
      </c>
      <c r="G6" s="9">
        <f t="shared" si="1"/>
        <v>0.7083333333</v>
      </c>
      <c r="K6" s="10"/>
    </row>
    <row r="7" ht="22.5" customHeight="1">
      <c r="A7" s="5" t="s">
        <v>51</v>
      </c>
      <c r="B7" s="6" t="s">
        <v>15</v>
      </c>
      <c r="C7" s="5" t="s">
        <v>52</v>
      </c>
      <c r="D7" s="5" t="s">
        <v>16</v>
      </c>
      <c r="E7" s="7">
        <v>25.0</v>
      </c>
      <c r="F7" s="8">
        <v>10.1</v>
      </c>
      <c r="G7" s="9">
        <f t="shared" si="1"/>
        <v>2.475247525</v>
      </c>
      <c r="K7" s="10"/>
    </row>
    <row r="8" ht="22.5" customHeight="1">
      <c r="A8" s="5" t="s">
        <v>53</v>
      </c>
      <c r="B8" s="6" t="s">
        <v>18</v>
      </c>
      <c r="C8" s="5" t="s">
        <v>52</v>
      </c>
      <c r="D8" s="5" t="s">
        <v>16</v>
      </c>
      <c r="E8" s="7">
        <v>25.0</v>
      </c>
      <c r="F8" s="8">
        <v>10.1</v>
      </c>
      <c r="G8" s="9">
        <f t="shared" si="1"/>
        <v>2.475247525</v>
      </c>
      <c r="K8" s="10"/>
    </row>
    <row r="11" ht="22.5" customHeight="1">
      <c r="A11" s="2" t="s">
        <v>41</v>
      </c>
      <c r="B11" s="3" t="s">
        <v>1</v>
      </c>
      <c r="C11" s="3" t="s">
        <v>42</v>
      </c>
      <c r="D11" s="3" t="s">
        <v>4</v>
      </c>
      <c r="E11" s="4" t="s">
        <v>43</v>
      </c>
      <c r="F11" s="4" t="s">
        <v>44</v>
      </c>
      <c r="G11" s="4" t="s">
        <v>45</v>
      </c>
      <c r="H11" s="3" t="s">
        <v>46</v>
      </c>
      <c r="I11" s="3" t="s">
        <v>47</v>
      </c>
      <c r="J11" s="3" t="s">
        <v>48</v>
      </c>
      <c r="K11" s="3" t="s">
        <v>49</v>
      </c>
      <c r="L11" s="2" t="s">
        <v>50</v>
      </c>
      <c r="M11" s="2" t="s">
        <v>5</v>
      </c>
    </row>
    <row r="12" ht="22.5" customHeight="1">
      <c r="A12" s="5" t="s">
        <v>54</v>
      </c>
      <c r="B12" s="6" t="s">
        <v>20</v>
      </c>
      <c r="C12" s="5" t="s">
        <v>52</v>
      </c>
      <c r="D12" s="5" t="s">
        <v>12</v>
      </c>
      <c r="E12" s="7">
        <v>7.74</v>
      </c>
      <c r="F12" s="8">
        <v>18.0</v>
      </c>
      <c r="G12" s="9">
        <f t="shared" ref="G12:G20" si="2">E12/F12</f>
        <v>0.43</v>
      </c>
      <c r="H12" s="12" t="s">
        <v>55</v>
      </c>
    </row>
    <row r="13" ht="22.5" customHeight="1">
      <c r="A13" s="5" t="s">
        <v>54</v>
      </c>
      <c r="B13" s="6" t="s">
        <v>21</v>
      </c>
      <c r="C13" s="5" t="s">
        <v>52</v>
      </c>
      <c r="D13" s="5" t="s">
        <v>12</v>
      </c>
      <c r="E13" s="7">
        <v>12.47</v>
      </c>
      <c r="F13" s="8">
        <v>28.0</v>
      </c>
      <c r="G13" s="9">
        <f t="shared" si="2"/>
        <v>0.4453571429</v>
      </c>
    </row>
    <row r="14" ht="22.5" customHeight="1">
      <c r="A14" s="5" t="s">
        <v>54</v>
      </c>
      <c r="B14" s="6" t="s">
        <v>22</v>
      </c>
      <c r="C14" s="5" t="s">
        <v>52</v>
      </c>
      <c r="D14" s="5" t="s">
        <v>12</v>
      </c>
      <c r="E14" s="7">
        <v>12.49</v>
      </c>
      <c r="F14" s="8">
        <v>28.0</v>
      </c>
      <c r="G14" s="9">
        <f t="shared" si="2"/>
        <v>0.4460714286</v>
      </c>
    </row>
    <row r="15" ht="22.5" customHeight="1">
      <c r="A15" s="5" t="s">
        <v>54</v>
      </c>
      <c r="B15" s="6" t="s">
        <v>56</v>
      </c>
      <c r="C15" s="5" t="s">
        <v>52</v>
      </c>
      <c r="D15" s="5" t="s">
        <v>12</v>
      </c>
      <c r="E15" s="7">
        <v>11.79</v>
      </c>
      <c r="F15" s="8">
        <v>16.0</v>
      </c>
      <c r="G15" s="9">
        <f t="shared" si="2"/>
        <v>0.736875</v>
      </c>
    </row>
    <row r="16" ht="22.5" customHeight="1">
      <c r="A16" s="5" t="s">
        <v>57</v>
      </c>
      <c r="B16" s="6" t="s">
        <v>58</v>
      </c>
      <c r="C16" s="5" t="s">
        <v>52</v>
      </c>
      <c r="D16" s="5" t="s">
        <v>25</v>
      </c>
      <c r="E16" s="7">
        <v>6.78</v>
      </c>
      <c r="F16" s="8">
        <v>20.3</v>
      </c>
      <c r="G16" s="9">
        <f t="shared" si="2"/>
        <v>0.3339901478</v>
      </c>
    </row>
    <row r="17" ht="22.5" customHeight="1">
      <c r="A17" s="5" t="s">
        <v>54</v>
      </c>
      <c r="B17" s="6" t="s">
        <v>26</v>
      </c>
      <c r="C17" s="5" t="s">
        <v>52</v>
      </c>
      <c r="D17" s="5" t="s">
        <v>16</v>
      </c>
      <c r="E17" s="7">
        <v>10.92</v>
      </c>
      <c r="F17" s="8">
        <v>18.0</v>
      </c>
      <c r="G17" s="9">
        <f t="shared" si="2"/>
        <v>0.6066666667</v>
      </c>
    </row>
    <row r="18" ht="22.5" customHeight="1">
      <c r="A18" s="5" t="s">
        <v>54</v>
      </c>
      <c r="B18" s="6" t="s">
        <v>27</v>
      </c>
      <c r="C18" s="5" t="s">
        <v>52</v>
      </c>
      <c r="D18" s="5" t="s">
        <v>16</v>
      </c>
      <c r="E18" s="7">
        <v>8.29</v>
      </c>
      <c r="F18" s="8">
        <v>18.0</v>
      </c>
      <c r="G18" s="9">
        <f t="shared" si="2"/>
        <v>0.4605555556</v>
      </c>
    </row>
    <row r="19" ht="22.5" customHeight="1">
      <c r="A19" s="5" t="s">
        <v>54</v>
      </c>
      <c r="B19" s="6" t="s">
        <v>28</v>
      </c>
      <c r="C19" s="5" t="s">
        <v>52</v>
      </c>
      <c r="D19" s="5" t="s">
        <v>16</v>
      </c>
      <c r="E19" s="7">
        <v>10.97</v>
      </c>
      <c r="F19" s="8">
        <v>18.0</v>
      </c>
      <c r="G19" s="9">
        <f t="shared" si="2"/>
        <v>0.6094444444</v>
      </c>
    </row>
    <row r="20" ht="22.5" customHeight="1">
      <c r="A20" s="13" t="s">
        <v>59</v>
      </c>
      <c r="B20" s="8" t="s">
        <v>60</v>
      </c>
      <c r="C20" s="13"/>
      <c r="D20" s="13"/>
      <c r="E20" s="7"/>
      <c r="F20" s="8"/>
      <c r="G20" s="10" t="str">
        <f t="shared" si="2"/>
        <v>#DIV/0!</v>
      </c>
      <c r="H20" s="10"/>
      <c r="I20" s="10"/>
      <c r="J20" s="10"/>
      <c r="K20" s="10"/>
      <c r="L20" s="10"/>
      <c r="M20" s="10"/>
    </row>
    <row r="22" ht="22.5" customHeight="1">
      <c r="A22" s="2" t="s">
        <v>41</v>
      </c>
      <c r="B22" s="3" t="s">
        <v>1</v>
      </c>
      <c r="C22" s="3" t="s">
        <v>42</v>
      </c>
      <c r="D22" s="3" t="s">
        <v>4</v>
      </c>
      <c r="E22" s="4" t="s">
        <v>43</v>
      </c>
      <c r="F22" s="4" t="s">
        <v>44</v>
      </c>
      <c r="G22" s="4" t="s">
        <v>45</v>
      </c>
      <c r="H22" s="3" t="s">
        <v>46</v>
      </c>
      <c r="I22" s="3" t="s">
        <v>47</v>
      </c>
      <c r="J22" s="3" t="s">
        <v>48</v>
      </c>
      <c r="K22" s="3" t="s">
        <v>49</v>
      </c>
      <c r="L22" s="2" t="s">
        <v>50</v>
      </c>
      <c r="M22" s="2" t="s">
        <v>5</v>
      </c>
    </row>
    <row r="23" ht="22.5" customHeight="1">
      <c r="A23" s="6" t="s">
        <v>61</v>
      </c>
      <c r="B23" s="6" t="s">
        <v>30</v>
      </c>
      <c r="C23" s="5" t="s">
        <v>52</v>
      </c>
      <c r="D23" s="5" t="s">
        <v>12</v>
      </c>
      <c r="E23" s="7">
        <v>11.21</v>
      </c>
      <c r="F23" s="8">
        <v>33.8</v>
      </c>
      <c r="G23" s="9">
        <f t="shared" ref="G23:G28" si="3">E23/F23</f>
        <v>0.3316568047</v>
      </c>
      <c r="M23" s="14"/>
    </row>
    <row r="24" ht="22.5" customHeight="1">
      <c r="A24" s="6" t="s">
        <v>61</v>
      </c>
      <c r="B24" s="6" t="s">
        <v>31</v>
      </c>
      <c r="C24" s="5" t="s">
        <v>52</v>
      </c>
      <c r="D24" s="5" t="s">
        <v>12</v>
      </c>
      <c r="E24" s="7">
        <v>4.58</v>
      </c>
      <c r="F24" s="8">
        <v>8.5</v>
      </c>
      <c r="G24" s="9">
        <f t="shared" si="3"/>
        <v>0.5388235294</v>
      </c>
      <c r="M24" s="14"/>
    </row>
    <row r="25" ht="22.5" customHeight="1">
      <c r="A25" s="6" t="s">
        <v>62</v>
      </c>
      <c r="B25" s="6" t="s">
        <v>32</v>
      </c>
      <c r="C25" s="5" t="s">
        <v>52</v>
      </c>
      <c r="D25" s="5" t="s">
        <v>25</v>
      </c>
      <c r="E25" s="7">
        <v>6.78</v>
      </c>
      <c r="F25" s="8">
        <v>16.9</v>
      </c>
      <c r="G25" s="9">
        <f t="shared" si="3"/>
        <v>0.401183432</v>
      </c>
    </row>
    <row r="26" ht="22.5" customHeight="1">
      <c r="A26" s="6" t="s">
        <v>63</v>
      </c>
      <c r="B26" s="6" t="s">
        <v>33</v>
      </c>
      <c r="C26" s="5" t="s">
        <v>52</v>
      </c>
      <c r="D26" s="5" t="s">
        <v>25</v>
      </c>
      <c r="E26" s="7">
        <v>5.98</v>
      </c>
      <c r="F26" s="8">
        <v>5.5</v>
      </c>
      <c r="G26" s="9">
        <f t="shared" si="3"/>
        <v>1.087272727</v>
      </c>
    </row>
    <row r="27" ht="22.5" customHeight="1">
      <c r="A27" s="6" t="s">
        <v>64</v>
      </c>
      <c r="B27" s="6" t="s">
        <v>35</v>
      </c>
      <c r="C27" s="5" t="s">
        <v>52</v>
      </c>
      <c r="D27" s="5" t="s">
        <v>16</v>
      </c>
      <c r="E27" s="7">
        <v>15.97</v>
      </c>
      <c r="F27" s="8">
        <v>14.1</v>
      </c>
      <c r="G27" s="9">
        <f t="shared" si="3"/>
        <v>1.132624113</v>
      </c>
      <c r="K27" s="14"/>
      <c r="N27" s="15"/>
    </row>
    <row r="28" ht="22.5" customHeight="1">
      <c r="A28" s="6" t="s">
        <v>65</v>
      </c>
      <c r="B28" s="6" t="s">
        <v>36</v>
      </c>
      <c r="C28" s="5" t="s">
        <v>52</v>
      </c>
      <c r="D28" s="5" t="s">
        <v>16</v>
      </c>
      <c r="E28" s="7">
        <v>19.99</v>
      </c>
      <c r="F28" s="8">
        <v>3.0</v>
      </c>
      <c r="G28" s="9">
        <f t="shared" si="3"/>
        <v>6.663333333</v>
      </c>
      <c r="K28" s="14"/>
      <c r="N28" s="15"/>
    </row>
    <row r="31" ht="22.5" customHeight="1">
      <c r="A31" s="2" t="s">
        <v>41</v>
      </c>
      <c r="B31" s="3" t="s">
        <v>1</v>
      </c>
      <c r="C31" s="3" t="s">
        <v>42</v>
      </c>
      <c r="D31" s="3" t="s">
        <v>4</v>
      </c>
      <c r="E31" s="4" t="s">
        <v>43</v>
      </c>
      <c r="F31" s="4" t="s">
        <v>66</v>
      </c>
      <c r="G31" s="2" t="s">
        <v>67</v>
      </c>
      <c r="H31" s="3" t="s">
        <v>46</v>
      </c>
      <c r="I31" s="3" t="s">
        <v>47</v>
      </c>
      <c r="J31" s="3" t="s">
        <v>48</v>
      </c>
      <c r="K31" s="3" t="s">
        <v>49</v>
      </c>
      <c r="L31" s="2" t="s">
        <v>50</v>
      </c>
      <c r="M31" s="2" t="s">
        <v>5</v>
      </c>
    </row>
    <row r="32" ht="22.5" customHeight="1">
      <c r="A32" s="16" t="s">
        <v>68</v>
      </c>
      <c r="B32" s="6" t="s">
        <v>40</v>
      </c>
      <c r="C32" s="5" t="s">
        <v>52</v>
      </c>
      <c r="D32" s="5" t="s">
        <v>12</v>
      </c>
      <c r="E32" s="7">
        <v>19.99</v>
      </c>
      <c r="F32" s="8">
        <v>3.88</v>
      </c>
      <c r="G32" s="9">
        <f t="shared" ref="G32:G48" si="4">E32/F32</f>
        <v>5.152061856</v>
      </c>
    </row>
    <row r="33" ht="22.5" customHeight="1">
      <c r="A33" s="16" t="s">
        <v>68</v>
      </c>
      <c r="B33" s="6" t="s">
        <v>69</v>
      </c>
      <c r="C33" s="5" t="s">
        <v>70</v>
      </c>
      <c r="D33" s="17"/>
      <c r="E33" s="7">
        <v>19.99</v>
      </c>
      <c r="F33" s="8">
        <v>3.88</v>
      </c>
      <c r="G33" s="9">
        <f t="shared" si="4"/>
        <v>5.152061856</v>
      </c>
      <c r="N33" s="15"/>
    </row>
    <row r="34" ht="22.5" customHeight="1">
      <c r="A34" s="16" t="s">
        <v>68</v>
      </c>
      <c r="B34" s="6" t="s">
        <v>71</v>
      </c>
      <c r="C34" s="5" t="s">
        <v>70</v>
      </c>
      <c r="D34" s="17"/>
      <c r="E34" s="7">
        <v>9.99</v>
      </c>
      <c r="F34" s="8">
        <v>7.8</v>
      </c>
      <c r="G34" s="9">
        <f t="shared" si="4"/>
        <v>1.280769231</v>
      </c>
      <c r="N34" s="15"/>
    </row>
    <row r="35" ht="22.5" customHeight="1">
      <c r="A35" s="16" t="s">
        <v>72</v>
      </c>
      <c r="B35" s="6" t="s">
        <v>73</v>
      </c>
      <c r="C35" s="5" t="s">
        <v>52</v>
      </c>
      <c r="D35" s="18" t="s">
        <v>9</v>
      </c>
      <c r="E35" s="19">
        <v>15.63</v>
      </c>
      <c r="F35" s="20">
        <v>3.38</v>
      </c>
      <c r="G35" s="9">
        <f t="shared" si="4"/>
        <v>4.624260355</v>
      </c>
      <c r="K35" s="14"/>
    </row>
    <row r="36" ht="22.5" customHeight="1">
      <c r="A36" s="5" t="s">
        <v>72</v>
      </c>
      <c r="B36" s="6" t="s">
        <v>74</v>
      </c>
      <c r="C36" s="5" t="s">
        <v>52</v>
      </c>
      <c r="D36" s="18" t="s">
        <v>9</v>
      </c>
      <c r="E36" s="19">
        <v>30.0</v>
      </c>
      <c r="F36" s="20">
        <v>1.69</v>
      </c>
      <c r="G36" s="9">
        <f t="shared" si="4"/>
        <v>17.75147929</v>
      </c>
      <c r="K36" s="14"/>
    </row>
    <row r="37" ht="22.5" customHeight="1">
      <c r="A37" s="5" t="s">
        <v>75</v>
      </c>
      <c r="B37" s="14" t="s">
        <v>76</v>
      </c>
      <c r="C37" s="5" t="s">
        <v>52</v>
      </c>
      <c r="D37" s="16" t="s">
        <v>9</v>
      </c>
      <c r="E37" s="19">
        <v>16.96</v>
      </c>
      <c r="F37" s="20">
        <v>3.3</v>
      </c>
      <c r="G37" s="9">
        <f t="shared" si="4"/>
        <v>5.139393939</v>
      </c>
    </row>
    <row r="38" ht="22.5" customHeight="1">
      <c r="A38" s="5" t="s">
        <v>75</v>
      </c>
      <c r="B38" s="14" t="s">
        <v>77</v>
      </c>
      <c r="C38" s="5" t="s">
        <v>52</v>
      </c>
      <c r="D38" s="16" t="s">
        <v>9</v>
      </c>
      <c r="E38" s="19">
        <v>13.99</v>
      </c>
      <c r="F38" s="20">
        <v>1.01</v>
      </c>
      <c r="G38" s="9">
        <f t="shared" si="4"/>
        <v>13.85148515</v>
      </c>
    </row>
    <row r="39" ht="22.5" customHeight="1">
      <c r="A39" s="13" t="s">
        <v>75</v>
      </c>
      <c r="B39" s="20" t="s">
        <v>78</v>
      </c>
      <c r="C39" s="5" t="s">
        <v>52</v>
      </c>
      <c r="D39" s="18" t="s">
        <v>9</v>
      </c>
      <c r="E39" s="19">
        <v>14.4</v>
      </c>
      <c r="F39" s="20">
        <v>2.02</v>
      </c>
      <c r="G39" s="9">
        <f t="shared" si="4"/>
        <v>7.128712871</v>
      </c>
      <c r="M39" s="10"/>
    </row>
    <row r="40" ht="22.5" customHeight="1">
      <c r="A40" s="13" t="s">
        <v>75</v>
      </c>
      <c r="B40" s="20" t="s">
        <v>79</v>
      </c>
      <c r="C40" s="5" t="s">
        <v>52</v>
      </c>
      <c r="D40" s="18" t="s">
        <v>9</v>
      </c>
      <c r="E40" s="19">
        <v>18.4</v>
      </c>
      <c r="F40" s="20">
        <v>2.02</v>
      </c>
      <c r="G40" s="9">
        <f t="shared" si="4"/>
        <v>9.108910891</v>
      </c>
      <c r="H40" s="12">
        <v>46099.0</v>
      </c>
      <c r="I40" s="6" t="s">
        <v>80</v>
      </c>
      <c r="M40" s="10"/>
    </row>
    <row r="41" ht="22.5" customHeight="1">
      <c r="A41" s="13" t="s">
        <v>81</v>
      </c>
      <c r="B41" s="8" t="s">
        <v>82</v>
      </c>
      <c r="C41" s="5" t="s">
        <v>52</v>
      </c>
      <c r="D41" s="13" t="s">
        <v>16</v>
      </c>
      <c r="E41" s="7">
        <v>26.99</v>
      </c>
      <c r="F41" s="8">
        <v>3.0</v>
      </c>
      <c r="G41" s="9">
        <f t="shared" si="4"/>
        <v>8.996666667</v>
      </c>
      <c r="M41" s="10"/>
    </row>
    <row r="42" ht="22.5" customHeight="1">
      <c r="A42" s="13" t="s">
        <v>81</v>
      </c>
      <c r="B42" s="8" t="s">
        <v>83</v>
      </c>
      <c r="C42" s="5" t="s">
        <v>52</v>
      </c>
      <c r="D42" s="13" t="s">
        <v>9</v>
      </c>
      <c r="E42" s="7">
        <v>18.99</v>
      </c>
      <c r="F42" s="8">
        <v>1.69</v>
      </c>
      <c r="G42" s="9">
        <f t="shared" si="4"/>
        <v>11.23668639</v>
      </c>
      <c r="M42" s="10"/>
    </row>
    <row r="43" ht="22.5" customHeight="1">
      <c r="A43" s="13" t="s">
        <v>81</v>
      </c>
      <c r="B43" s="8" t="s">
        <v>84</v>
      </c>
      <c r="C43" s="5" t="s">
        <v>52</v>
      </c>
      <c r="D43" s="13" t="s">
        <v>9</v>
      </c>
      <c r="E43" s="7">
        <v>35.95</v>
      </c>
      <c r="F43" s="8">
        <v>2.0</v>
      </c>
      <c r="G43" s="9">
        <f t="shared" si="4"/>
        <v>17.975</v>
      </c>
      <c r="M43" s="21"/>
    </row>
    <row r="44" ht="22.5" customHeight="1">
      <c r="A44" s="13" t="s">
        <v>81</v>
      </c>
      <c r="B44" s="8" t="s">
        <v>85</v>
      </c>
      <c r="C44" s="5" t="s">
        <v>52</v>
      </c>
      <c r="D44" s="13" t="s">
        <v>9</v>
      </c>
      <c r="E44" s="7">
        <v>21.99</v>
      </c>
      <c r="F44" s="8">
        <v>1.69</v>
      </c>
      <c r="G44" s="9">
        <f t="shared" si="4"/>
        <v>13.01183432</v>
      </c>
      <c r="M44" s="10"/>
    </row>
    <row r="45" ht="22.5" customHeight="1">
      <c r="A45" s="5" t="s">
        <v>86</v>
      </c>
      <c r="B45" s="14" t="s">
        <v>87</v>
      </c>
      <c r="C45" s="5" t="s">
        <v>52</v>
      </c>
      <c r="D45" s="16" t="s">
        <v>9</v>
      </c>
      <c r="E45" s="19">
        <v>12.99</v>
      </c>
      <c r="F45" s="20">
        <v>3.38</v>
      </c>
      <c r="G45" s="9">
        <f t="shared" si="4"/>
        <v>3.843195266</v>
      </c>
    </row>
    <row r="46" ht="22.5" customHeight="1">
      <c r="A46" s="5" t="s">
        <v>86</v>
      </c>
      <c r="B46" s="6" t="s">
        <v>38</v>
      </c>
      <c r="C46" s="5" t="s">
        <v>52</v>
      </c>
      <c r="D46" s="5" t="s">
        <v>9</v>
      </c>
      <c r="E46" s="7">
        <v>28.0</v>
      </c>
      <c r="F46" s="8">
        <v>5.07</v>
      </c>
      <c r="G46" s="9">
        <f t="shared" si="4"/>
        <v>5.522682446</v>
      </c>
    </row>
    <row r="47" ht="22.5" customHeight="1">
      <c r="A47" s="5" t="s">
        <v>86</v>
      </c>
      <c r="B47" s="14" t="s">
        <v>88</v>
      </c>
      <c r="C47" s="5" t="s">
        <v>52</v>
      </c>
      <c r="D47" s="16" t="s">
        <v>9</v>
      </c>
      <c r="E47" s="19">
        <v>12.99</v>
      </c>
      <c r="F47" s="20">
        <v>5.07</v>
      </c>
      <c r="G47" s="9">
        <f t="shared" si="4"/>
        <v>2.562130178</v>
      </c>
    </row>
    <row r="48" ht="22.5" customHeight="1">
      <c r="A48" s="13" t="s">
        <v>86</v>
      </c>
      <c r="B48" s="20" t="s">
        <v>89</v>
      </c>
      <c r="C48" s="5" t="s">
        <v>52</v>
      </c>
      <c r="D48" s="18" t="s">
        <v>9</v>
      </c>
      <c r="E48" s="19">
        <v>18.4</v>
      </c>
      <c r="F48" s="20">
        <v>6.76</v>
      </c>
      <c r="G48" s="9">
        <f t="shared" si="4"/>
        <v>2.721893491</v>
      </c>
      <c r="H48" s="12">
        <v>46099.0</v>
      </c>
      <c r="I48" s="6" t="s">
        <v>90</v>
      </c>
      <c r="M48" s="10"/>
    </row>
    <row r="53" ht="22.5" customHeight="1">
      <c r="A53" s="2" t="s">
        <v>41</v>
      </c>
      <c r="B53" s="3" t="s">
        <v>1</v>
      </c>
      <c r="C53" s="3" t="s">
        <v>42</v>
      </c>
      <c r="D53" s="3" t="s">
        <v>4</v>
      </c>
      <c r="E53" s="3" t="s">
        <v>43</v>
      </c>
      <c r="F53" s="3" t="s">
        <v>66</v>
      </c>
      <c r="G53" s="2" t="s">
        <v>67</v>
      </c>
      <c r="H53" s="3" t="s">
        <v>46</v>
      </c>
      <c r="I53" s="3" t="s">
        <v>47</v>
      </c>
      <c r="J53" s="3" t="s">
        <v>48</v>
      </c>
      <c r="K53" s="3" t="s">
        <v>49</v>
      </c>
      <c r="L53" s="2" t="s">
        <v>50</v>
      </c>
      <c r="M53" s="2" t="s">
        <v>5</v>
      </c>
    </row>
    <row r="54" ht="22.5" customHeight="1">
      <c r="A54" s="5" t="s">
        <v>91</v>
      </c>
      <c r="B54" s="6" t="s">
        <v>39</v>
      </c>
      <c r="C54" s="17" t="s">
        <v>52</v>
      </c>
      <c r="D54" s="18" t="s">
        <v>9</v>
      </c>
      <c r="E54" s="7">
        <v>12.74</v>
      </c>
      <c r="F54" s="8">
        <v>25.0</v>
      </c>
      <c r="G54" s="9">
        <f t="shared" ref="G54:G62" si="5">E54/F54</f>
        <v>0.5096</v>
      </c>
      <c r="H54" s="12">
        <v>46099.0</v>
      </c>
      <c r="I54" s="6" t="s">
        <v>92</v>
      </c>
    </row>
    <row r="55" ht="22.5" customHeight="1">
      <c r="A55" s="13" t="s">
        <v>93</v>
      </c>
      <c r="B55" s="8" t="s">
        <v>94</v>
      </c>
      <c r="C55" s="17" t="s">
        <v>52</v>
      </c>
      <c r="D55" s="18" t="s">
        <v>9</v>
      </c>
      <c r="E55" s="7">
        <v>18.99</v>
      </c>
      <c r="F55" s="8">
        <v>10.0</v>
      </c>
      <c r="G55" s="9">
        <f t="shared" si="5"/>
        <v>1.899</v>
      </c>
      <c r="M55" s="10"/>
    </row>
    <row r="56" ht="22.5" customHeight="1">
      <c r="A56" s="13" t="s">
        <v>93</v>
      </c>
      <c r="B56" s="8" t="s">
        <v>95</v>
      </c>
      <c r="C56" s="17" t="s">
        <v>52</v>
      </c>
      <c r="D56" s="18" t="s">
        <v>9</v>
      </c>
      <c r="E56" s="7">
        <v>25.0</v>
      </c>
      <c r="F56" s="8">
        <v>10.0</v>
      </c>
      <c r="G56" s="9">
        <f t="shared" si="5"/>
        <v>2.5</v>
      </c>
      <c r="M56" s="10"/>
    </row>
    <row r="57" ht="22.5" customHeight="1">
      <c r="A57" s="13" t="s">
        <v>93</v>
      </c>
      <c r="B57" s="8" t="s">
        <v>96</v>
      </c>
      <c r="C57" s="17" t="s">
        <v>52</v>
      </c>
      <c r="D57" s="18" t="s">
        <v>9</v>
      </c>
      <c r="E57" s="7">
        <v>2.5</v>
      </c>
      <c r="F57" s="8">
        <v>1.0</v>
      </c>
      <c r="G57" s="9">
        <f t="shared" si="5"/>
        <v>2.5</v>
      </c>
      <c r="M57" s="21"/>
    </row>
    <row r="58" ht="22.5" customHeight="1">
      <c r="A58" s="13" t="s">
        <v>93</v>
      </c>
      <c r="B58" s="8" t="s">
        <v>97</v>
      </c>
      <c r="C58" s="17" t="s">
        <v>52</v>
      </c>
      <c r="D58" s="18" t="s">
        <v>9</v>
      </c>
      <c r="E58" s="7">
        <v>2.5</v>
      </c>
      <c r="F58" s="8">
        <v>1.0</v>
      </c>
      <c r="G58" s="9">
        <f t="shared" si="5"/>
        <v>2.5</v>
      </c>
      <c r="M58" s="10"/>
    </row>
    <row r="59" ht="22.5" customHeight="1">
      <c r="A59" s="13" t="s">
        <v>93</v>
      </c>
      <c r="B59" s="8" t="s">
        <v>98</v>
      </c>
      <c r="C59" s="5" t="s">
        <v>52</v>
      </c>
      <c r="D59" s="5" t="s">
        <v>12</v>
      </c>
      <c r="E59" s="7">
        <v>14.98</v>
      </c>
      <c r="F59" s="8">
        <v>10.0</v>
      </c>
      <c r="G59" s="9">
        <f t="shared" si="5"/>
        <v>1.498</v>
      </c>
      <c r="M59" s="10"/>
    </row>
    <row r="60" ht="22.5" customHeight="1">
      <c r="A60" s="13" t="s">
        <v>93</v>
      </c>
      <c r="B60" s="8" t="s">
        <v>99</v>
      </c>
      <c r="C60" s="5" t="s">
        <v>52</v>
      </c>
      <c r="D60" s="5" t="s">
        <v>12</v>
      </c>
      <c r="E60" s="7">
        <v>14.99</v>
      </c>
      <c r="F60" s="8">
        <v>10.0</v>
      </c>
      <c r="G60" s="9">
        <f t="shared" si="5"/>
        <v>1.499</v>
      </c>
      <c r="M60" s="10"/>
    </row>
    <row r="61" ht="22.5" customHeight="1">
      <c r="A61" s="13" t="s">
        <v>93</v>
      </c>
      <c r="B61" s="8" t="s">
        <v>100</v>
      </c>
      <c r="C61" s="13"/>
      <c r="D61" s="13"/>
      <c r="E61" s="7">
        <v>19.99</v>
      </c>
      <c r="F61" s="8">
        <v>10.0</v>
      </c>
      <c r="G61" s="22">
        <f t="shared" si="5"/>
        <v>1.999</v>
      </c>
      <c r="H61" s="23">
        <v>46099.0</v>
      </c>
      <c r="I61" s="8" t="s">
        <v>101</v>
      </c>
      <c r="J61" s="10"/>
      <c r="K61" s="10"/>
      <c r="L61" s="10"/>
      <c r="M61" s="10"/>
    </row>
    <row r="62" ht="22.5" customHeight="1">
      <c r="A62" s="13" t="s">
        <v>93</v>
      </c>
      <c r="B62" s="8" t="s">
        <v>102</v>
      </c>
      <c r="C62" s="13"/>
      <c r="D62" s="13"/>
      <c r="E62" s="7">
        <v>19.99</v>
      </c>
      <c r="F62" s="8">
        <v>10.0</v>
      </c>
      <c r="G62" s="22">
        <f t="shared" si="5"/>
        <v>1.999</v>
      </c>
      <c r="H62" s="10"/>
      <c r="I62" s="10"/>
      <c r="J62" s="10"/>
      <c r="K62" s="10"/>
      <c r="L62" s="10"/>
      <c r="M62" s="10"/>
    </row>
  </sheetData>
  <conditionalFormatting sqref="G20:G21">
    <cfRule type="colorScale" priority="1">
      <colorScale>
        <cfvo type="percentile" val="0"/>
        <cfvo type="percentile" val="50"/>
        <cfvo type="percentile" val="100"/>
        <color rgb="FF57BB8A"/>
        <color rgb="FFABDDC5"/>
        <color rgb="FFFFFFFF"/>
      </colorScale>
    </cfRule>
  </conditionalFormatting>
  <conditionalFormatting sqref="G29:G30">
    <cfRule type="colorScale" priority="2">
      <colorScale>
        <cfvo type="percentile" val="0"/>
        <cfvo type="percentile" val="50"/>
        <cfvo type="percentile" val="100"/>
        <color rgb="FF57BB8A"/>
        <color rgb="FFABDDC5"/>
        <color rgb="FFFFFFFF"/>
      </colorScale>
    </cfRule>
  </conditionalFormatting>
  <dataValidations>
    <dataValidation type="list" allowBlank="1" sqref="C3:C8 C12:C20">
      <formula1>"Verified Safe,Honey Extract,Almond,Latex/Cross-Reactant"</formula1>
    </dataValidation>
    <dataValidation type="list" allowBlank="1" sqref="C23:C28">
      <formula1>"Verified Safe,Honey Extract,Latex/ Cross-Reactant,Almond"</formula1>
    </dataValidation>
    <dataValidation type="list" allowBlank="1" sqref="D12:D20 D23:D28 D32:D48 D54:D62">
      <formula1>"🌿 Very High,🌿 High,🌾 Moderate,🧪 Low"</formula1>
    </dataValidation>
    <dataValidation type="list" allowBlank="1" sqref="A32:A48">
      <formula1>"Treatments,Cleanser,Face Cream,Toner,Serum,Sunscreen"</formula1>
    </dataValidation>
    <dataValidation type="list" allowBlank="1" sqref="D3:D8">
      <formula1>"🌿 Very High,🌿 High,🌾 Moderate,🧪 Low"</formula1>
    </dataValidation>
    <dataValidation type="list" allowBlank="1" sqref="A12:A20">
      <formula1>"Liquid,Bar,Baby"</formula1>
    </dataValidation>
    <dataValidation type="list" allowBlank="1" sqref="C32:C48">
      <formula1>"Verified Safe,Honey Extract,Latex/ Cross-Reactant,Almond,UNVERIFIED"</formula1>
    </dataValidation>
    <dataValidation type="list" allowBlank="1" sqref="C54:C62">
      <formula1>"Verified Safe,Honey Extact,Almond,Latex/Cros-Reactant"</formula1>
    </dataValidation>
    <dataValidation type="custom" allowBlank="1" showDropDown="1" sqref="E3:E8 E12:E20 E23:E28 E32:E48 E54:E62 G54:G62">
      <formula1>AND(ISNUMBER(E3),(NOT(OR(NOT(ISERROR(DATEVALUE(E3))), AND(ISNUMBER(E3), LEFT(CELL("format", E3))="D")))))</formula1>
    </dataValidation>
    <dataValidation type="list" allowBlank="1" sqref="A54:A62">
      <formula1>"EYE,MASK"</formula1>
    </dataValidation>
    <dataValidation type="list" allowBlank="1" sqref="A3:A8">
      <formula1>"Shampoo,Conditioner,Leave-In,Oil"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